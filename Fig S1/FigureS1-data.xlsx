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860" windowHeight="13280" activeTab="1"/>
  </bookViews>
  <sheets>
    <sheet name="diet and growth" sheetId="1" r:id="rId1"/>
    <sheet name="blood" sheetId="2" r:id="rId2"/>
  </sheets>
  <calcPr calcId="144525"/>
</workbook>
</file>

<file path=xl/sharedStrings.xml><?xml version="1.0" encoding="utf-8"?>
<sst xmlns="http://schemas.openxmlformats.org/spreadsheetml/2006/main" count="50" uniqueCount="23">
  <si>
    <t>Exposure time（week）</t>
  </si>
  <si>
    <t>Drinking   (mL)</t>
  </si>
  <si>
    <t>CK</t>
  </si>
  <si>
    <t>NPs</t>
  </si>
  <si>
    <t>Eating   (g)</t>
  </si>
  <si>
    <t>Body weight  (g)</t>
  </si>
  <si>
    <t>Nine weeks after exposure</t>
  </si>
  <si>
    <t>treatment</t>
  </si>
  <si>
    <t>Colon length/ cm</t>
  </si>
  <si>
    <t>mean</t>
  </si>
  <si>
    <t>sd</t>
  </si>
  <si>
    <t>Colon weight/ g</t>
  </si>
  <si>
    <t>Liver weight/ g</t>
  </si>
  <si>
    <t>Kidney weight/ g</t>
  </si>
  <si>
    <t>处理</t>
  </si>
  <si>
    <t>Glu/ umol/L</t>
  </si>
  <si>
    <t>TC/ umol/L</t>
  </si>
  <si>
    <t>TBA/ umol/L</t>
  </si>
  <si>
    <t>PYR/ umol/L</t>
  </si>
  <si>
    <t>TG/ umol/L</t>
  </si>
  <si>
    <t>ARG/ U/L</t>
  </si>
  <si>
    <r>
      <rPr>
        <sz val="11"/>
        <color rgb="FF000000"/>
        <rFont val="宋体"/>
        <charset val="134"/>
        <scheme val="minor"/>
      </rPr>
      <t>mean</t>
    </r>
  </si>
  <si>
    <r>
      <rPr>
        <sz val="11"/>
        <color rgb="FF000000"/>
        <rFont val="宋体"/>
        <charset val="134"/>
        <scheme val="minor"/>
      </rPr>
      <t>sd</t>
    </r>
  </si>
</sst>
</file>

<file path=xl/styles.xml><?xml version="1.0" encoding="utf-8"?>
<styleSheet xmlns="http://schemas.openxmlformats.org/spreadsheetml/2006/main" xmlns:xr9="http://schemas.microsoft.com/office/spreadsheetml/2016/revision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0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11" applyNumberFormat="0" applyFill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3" applyNumberFormat="0" applyAlignment="0" applyProtection="0">
      <alignment vertical="center"/>
    </xf>
    <xf numFmtId="0" fontId="11" fillId="4" borderId="14" applyNumberFormat="0" applyAlignment="0" applyProtection="0">
      <alignment vertical="center"/>
    </xf>
    <xf numFmtId="0" fontId="12" fillId="4" borderId="13" applyNumberFormat="0" applyAlignment="0" applyProtection="0">
      <alignment vertical="center"/>
    </xf>
    <xf numFmtId="0" fontId="13" fillId="5" borderId="15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0" fillId="0" borderId="3" xfId="0" applyFill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vertical="center"/>
    </xf>
    <xf numFmtId="176" fontId="0" fillId="0" borderId="5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0" borderId="5" xfId="0" applyFill="1" applyBorder="1" applyAlignment="1">
      <alignment vertical="center"/>
    </xf>
    <xf numFmtId="176" fontId="0" fillId="0" borderId="5" xfId="0" applyNumberFormat="1" applyFill="1" applyBorder="1" applyAlignment="1">
      <alignment horizontal="center" vertical="center"/>
    </xf>
    <xf numFmtId="0" fontId="0" fillId="0" borderId="6" xfId="0" applyFill="1" applyBorder="1" applyAlignment="1">
      <alignment vertical="center"/>
    </xf>
    <xf numFmtId="176" fontId="0" fillId="0" borderId="6" xfId="0" applyNumberFormat="1" applyFill="1" applyBorder="1" applyAlignment="1">
      <alignment horizontal="center" vertical="center"/>
    </xf>
    <xf numFmtId="176" fontId="0" fillId="0" borderId="7" xfId="0" applyNumberFormat="1" applyFill="1" applyBorder="1" applyAlignment="1">
      <alignment horizontal="center" vertical="center"/>
    </xf>
    <xf numFmtId="176" fontId="0" fillId="0" borderId="6" xfId="0" applyNumberFormat="1" applyFill="1" applyBorder="1" applyAlignment="1">
      <alignment horizontal="center" vertical="center"/>
    </xf>
    <xf numFmtId="176" fontId="0" fillId="0" borderId="7" xfId="0" applyNumberForma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1" fillId="0" borderId="0" xfId="0" applyFont="1">
      <alignment vertical="center"/>
    </xf>
    <xf numFmtId="0" fontId="1" fillId="0" borderId="9" xfId="0" applyFont="1" applyBorder="1">
      <alignment vertical="center"/>
    </xf>
    <xf numFmtId="0" fontId="0" fillId="0" borderId="3" xfId="0" applyFill="1" applyBorder="1" applyAlignment="1">
      <alignment vertical="center"/>
    </xf>
    <xf numFmtId="0" fontId="0" fillId="0" borderId="4" xfId="0" applyFill="1" applyBorder="1" applyAlignment="1">
      <alignment vertical="center"/>
    </xf>
    <xf numFmtId="0" fontId="0" fillId="0" borderId="4" xfId="0" applyFill="1" applyBorder="1" applyAlignment="1">
      <alignment vertical="center"/>
    </xf>
    <xf numFmtId="0" fontId="0" fillId="0" borderId="6" xfId="0" applyFill="1" applyBorder="1" applyAlignment="1">
      <alignment vertical="center"/>
    </xf>
    <xf numFmtId="0" fontId="0" fillId="0" borderId="7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6"/>
  <sheetViews>
    <sheetView workbookViewId="0">
      <selection activeCell="B30" sqref="B30"/>
    </sheetView>
  </sheetViews>
  <sheetFormatPr defaultColWidth="9.23076923076923" defaultRowHeight="16.8"/>
  <cols>
    <col min="1" max="1" width="21.1538461538462" customWidth="1"/>
    <col min="2" max="2" width="20.1923076923077" customWidth="1"/>
  </cols>
  <sheetData>
    <row r="2" spans="1:11">
      <c r="A2" s="1"/>
      <c r="B2" s="2" t="s">
        <v>0</v>
      </c>
      <c r="C2" s="2"/>
      <c r="D2" s="2"/>
      <c r="E2" s="2"/>
      <c r="F2" s="2"/>
      <c r="G2" s="2"/>
      <c r="H2" s="2"/>
      <c r="I2" s="2"/>
      <c r="J2" s="21"/>
      <c r="K2" s="10"/>
    </row>
    <row r="3" spans="1:11">
      <c r="A3" s="29" t="s">
        <v>1</v>
      </c>
      <c r="B3" s="10">
        <v>1</v>
      </c>
      <c r="C3" s="10">
        <v>2</v>
      </c>
      <c r="D3" s="10">
        <v>3</v>
      </c>
      <c r="E3" s="10">
        <v>4</v>
      </c>
      <c r="F3" s="10">
        <v>5</v>
      </c>
      <c r="G3" s="10">
        <v>6</v>
      </c>
      <c r="H3" s="10">
        <v>7</v>
      </c>
      <c r="I3" s="10">
        <v>8</v>
      </c>
      <c r="J3" s="32">
        <v>9</v>
      </c>
      <c r="K3" s="10"/>
    </row>
    <row r="4" spans="1:11">
      <c r="A4" s="29" t="s">
        <v>2</v>
      </c>
      <c r="B4" s="10">
        <v>36</v>
      </c>
      <c r="C4" s="10">
        <v>40.3</v>
      </c>
      <c r="D4" s="10">
        <v>36.8</v>
      </c>
      <c r="E4" s="10">
        <v>35.4</v>
      </c>
      <c r="F4" s="10">
        <v>38.5</v>
      </c>
      <c r="G4" s="10">
        <v>32</v>
      </c>
      <c r="H4" s="10">
        <v>35.8</v>
      </c>
      <c r="I4" s="10">
        <v>34.5</v>
      </c>
      <c r="J4" s="32">
        <v>36.8</v>
      </c>
      <c r="K4" s="10"/>
    </row>
    <row r="5" spans="1:11">
      <c r="A5" s="30" t="s">
        <v>3</v>
      </c>
      <c r="B5" s="14">
        <v>37.5</v>
      </c>
      <c r="C5" s="14">
        <v>39.8</v>
      </c>
      <c r="D5" s="14">
        <v>32.9</v>
      </c>
      <c r="E5" s="14">
        <v>35.6</v>
      </c>
      <c r="F5" s="14">
        <v>34</v>
      </c>
      <c r="G5" s="14">
        <v>35.5</v>
      </c>
      <c r="H5" s="14">
        <v>36.9</v>
      </c>
      <c r="I5" s="14">
        <v>44.6</v>
      </c>
      <c r="J5" s="33">
        <v>47.1</v>
      </c>
      <c r="K5" s="10"/>
    </row>
    <row r="6" spans="1:11">
      <c r="A6" s="4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1"/>
      <c r="B7" s="2" t="s">
        <v>0</v>
      </c>
      <c r="C7" s="2"/>
      <c r="D7" s="2"/>
      <c r="E7" s="2"/>
      <c r="F7" s="2"/>
      <c r="G7" s="2"/>
      <c r="H7" s="2"/>
      <c r="I7" s="2"/>
      <c r="J7" s="21"/>
      <c r="K7" s="10"/>
    </row>
    <row r="8" spans="1:11">
      <c r="A8" s="29" t="s">
        <v>4</v>
      </c>
      <c r="B8" s="10">
        <v>1</v>
      </c>
      <c r="C8" s="10">
        <v>2</v>
      </c>
      <c r="D8" s="10">
        <v>3</v>
      </c>
      <c r="E8" s="10">
        <v>4</v>
      </c>
      <c r="F8" s="10">
        <v>5</v>
      </c>
      <c r="G8" s="10">
        <v>6</v>
      </c>
      <c r="H8" s="10">
        <v>7</v>
      </c>
      <c r="I8" s="10">
        <v>8</v>
      </c>
      <c r="J8" s="32">
        <v>9</v>
      </c>
      <c r="K8" s="10"/>
    </row>
    <row r="9" spans="1:11">
      <c r="A9" s="29" t="s">
        <v>2</v>
      </c>
      <c r="B9" s="10">
        <v>25.3</v>
      </c>
      <c r="C9" s="10">
        <v>27.8</v>
      </c>
      <c r="D9" s="10">
        <v>23.5</v>
      </c>
      <c r="E9" s="10">
        <v>23.4</v>
      </c>
      <c r="F9" s="10">
        <v>24.6</v>
      </c>
      <c r="G9" s="10">
        <v>25.7</v>
      </c>
      <c r="H9" s="10">
        <v>23.6</v>
      </c>
      <c r="I9" s="10">
        <v>24.3</v>
      </c>
      <c r="J9" s="32">
        <v>25.3</v>
      </c>
      <c r="K9" s="10"/>
    </row>
    <row r="10" spans="1:11">
      <c r="A10" s="30" t="s">
        <v>3</v>
      </c>
      <c r="B10" s="14">
        <v>25.3</v>
      </c>
      <c r="C10" s="14">
        <v>28.2</v>
      </c>
      <c r="D10" s="14">
        <v>23.2</v>
      </c>
      <c r="E10" s="14">
        <v>23.1</v>
      </c>
      <c r="F10" s="14">
        <v>21.4</v>
      </c>
      <c r="G10" s="14">
        <v>21.6</v>
      </c>
      <c r="H10" s="14">
        <v>21.2</v>
      </c>
      <c r="I10" s="14">
        <v>22.1</v>
      </c>
      <c r="J10" s="33">
        <v>20.7</v>
      </c>
      <c r="K10" s="10"/>
    </row>
    <row r="11" spans="1:11">
      <c r="A11" s="4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4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1"/>
      <c r="B13" s="2" t="s">
        <v>0</v>
      </c>
      <c r="C13" s="2"/>
      <c r="D13" s="2"/>
      <c r="E13" s="2"/>
      <c r="F13" s="2"/>
      <c r="G13" s="2"/>
      <c r="H13" s="2"/>
      <c r="I13" s="2"/>
      <c r="J13" s="2"/>
      <c r="K13" s="21"/>
    </row>
    <row r="14" spans="1:11">
      <c r="A14" s="29" t="s">
        <v>5</v>
      </c>
      <c r="B14" s="10">
        <v>0</v>
      </c>
      <c r="C14" s="10">
        <v>1</v>
      </c>
      <c r="D14" s="10">
        <v>2</v>
      </c>
      <c r="E14" s="10">
        <v>3</v>
      </c>
      <c r="F14" s="10">
        <v>4</v>
      </c>
      <c r="G14" s="10">
        <v>5</v>
      </c>
      <c r="H14" s="10">
        <v>6</v>
      </c>
      <c r="I14" s="10">
        <v>7</v>
      </c>
      <c r="J14" s="10">
        <v>8</v>
      </c>
      <c r="K14" s="32">
        <v>9</v>
      </c>
    </row>
    <row r="15" spans="1:11">
      <c r="A15" s="3" t="s">
        <v>2</v>
      </c>
      <c r="B15" s="10">
        <v>27.88</v>
      </c>
      <c r="C15" s="10">
        <v>28.52</v>
      </c>
      <c r="D15" s="10">
        <v>34.8</v>
      </c>
      <c r="E15" s="10">
        <v>36.94</v>
      </c>
      <c r="F15" s="10">
        <v>38.22</v>
      </c>
      <c r="G15" s="10">
        <v>39.1</v>
      </c>
      <c r="H15" s="10">
        <v>40.4</v>
      </c>
      <c r="I15" s="10">
        <v>41.18</v>
      </c>
      <c r="J15" s="10">
        <v>42.56</v>
      </c>
      <c r="K15" s="32">
        <v>43.44</v>
      </c>
    </row>
    <row r="16" spans="1:11">
      <c r="A16" s="31" t="s">
        <v>3</v>
      </c>
      <c r="B16" s="14">
        <v>26.62</v>
      </c>
      <c r="C16" s="14">
        <v>27.32</v>
      </c>
      <c r="D16" s="14">
        <v>34.08</v>
      </c>
      <c r="E16" s="14">
        <v>35.7</v>
      </c>
      <c r="F16" s="14">
        <v>36.42</v>
      </c>
      <c r="G16" s="14">
        <v>37.76</v>
      </c>
      <c r="H16" s="14">
        <v>38.54</v>
      </c>
      <c r="I16" s="14">
        <v>39.12</v>
      </c>
      <c r="J16" s="14">
        <v>40.38</v>
      </c>
      <c r="K16" s="33">
        <v>40.86</v>
      </c>
    </row>
  </sheetData>
  <mergeCells count="3">
    <mergeCell ref="B2:J2"/>
    <mergeCell ref="B7:J7"/>
    <mergeCell ref="B13:K1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8"/>
  <sheetViews>
    <sheetView tabSelected="1" topLeftCell="B1" workbookViewId="0">
      <selection activeCell="H20" sqref="H20"/>
    </sheetView>
  </sheetViews>
  <sheetFormatPr defaultColWidth="9.23076923076923" defaultRowHeight="16.8"/>
  <cols>
    <col min="1" max="1" width="15.1538461538462" customWidth="1"/>
    <col min="3" max="3" width="18.1538461538462" customWidth="1"/>
    <col min="5" max="5" width="10.3076923076923" customWidth="1"/>
    <col min="6" max="6" width="16.6923076923077" customWidth="1"/>
    <col min="8" max="8" width="10.3076923076923" customWidth="1"/>
    <col min="9" max="9" width="15.8461538461538" customWidth="1"/>
    <col min="11" max="11" width="10.3076923076923" customWidth="1"/>
  </cols>
  <sheetData>
    <row r="1" spans="1:20">
      <c r="A1" s="1"/>
      <c r="B1" s="2" t="s">
        <v>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1"/>
      <c r="O1" s="10"/>
      <c r="P1" s="10"/>
      <c r="Q1" s="10"/>
      <c r="R1" s="10"/>
      <c r="S1" s="10"/>
      <c r="T1" s="10"/>
    </row>
    <row r="2" spans="1:20">
      <c r="A2" s="3" t="s">
        <v>7</v>
      </c>
      <c r="B2" s="4"/>
      <c r="C2" s="4" t="s">
        <v>8</v>
      </c>
      <c r="D2" s="4" t="s">
        <v>9</v>
      </c>
      <c r="E2" s="16" t="s">
        <v>10</v>
      </c>
      <c r="F2" s="4" t="s">
        <v>11</v>
      </c>
      <c r="G2" s="4" t="s">
        <v>9</v>
      </c>
      <c r="H2" s="16" t="s">
        <v>10</v>
      </c>
      <c r="I2" s="4" t="s">
        <v>12</v>
      </c>
      <c r="J2" s="4" t="s">
        <v>9</v>
      </c>
      <c r="K2" s="16" t="s">
        <v>10</v>
      </c>
      <c r="L2" s="4" t="s">
        <v>13</v>
      </c>
      <c r="M2" s="4" t="s">
        <v>9</v>
      </c>
      <c r="N2" s="16" t="s">
        <v>10</v>
      </c>
      <c r="O2" s="4"/>
      <c r="P2" s="4"/>
      <c r="Q2" s="4"/>
      <c r="R2" s="4"/>
      <c r="S2" s="10"/>
      <c r="T2" s="10"/>
    </row>
    <row r="3" spans="1:20">
      <c r="A3" s="5" t="s">
        <v>2</v>
      </c>
      <c r="B3" s="4">
        <v>1</v>
      </c>
      <c r="C3" s="4">
        <v>9.87</v>
      </c>
      <c r="D3" s="6">
        <f>AVERAGE(C3:C5)</f>
        <v>10.0966666666667</v>
      </c>
      <c r="E3" s="17">
        <f>STDEV(C3:C5)</f>
        <v>0.472687352626801</v>
      </c>
      <c r="F3" s="4">
        <v>0.32</v>
      </c>
      <c r="G3" s="6">
        <f>AVERAGE(F3:F5)</f>
        <v>0.326666666666667</v>
      </c>
      <c r="H3" s="17">
        <f>STDEV(F3:F5)</f>
        <v>0.0503322295684717</v>
      </c>
      <c r="I3" s="4">
        <v>1.49</v>
      </c>
      <c r="J3" s="6">
        <f>AVERAGE(I3:I5)</f>
        <v>1.42333333333333</v>
      </c>
      <c r="K3" s="17">
        <f>STDEV(I3:I5)</f>
        <v>0.0611010092660778</v>
      </c>
      <c r="L3" s="4">
        <v>0.38</v>
      </c>
      <c r="M3" s="6">
        <f>AVERAGE(L3:L5)</f>
        <v>0.343333333333333</v>
      </c>
      <c r="N3" s="17">
        <f>STDEV(L3:L5)</f>
        <v>0.0351188458428425</v>
      </c>
      <c r="O3" s="4"/>
      <c r="P3" s="4"/>
      <c r="Q3" s="4"/>
      <c r="R3" s="4"/>
      <c r="S3" s="10"/>
      <c r="T3" s="10"/>
    </row>
    <row r="4" spans="1:20">
      <c r="A4" s="5"/>
      <c r="B4" s="4">
        <v>2</v>
      </c>
      <c r="C4" s="4">
        <v>10.64</v>
      </c>
      <c r="D4" s="6"/>
      <c r="E4" s="17"/>
      <c r="F4" s="4">
        <v>0.38</v>
      </c>
      <c r="G4" s="6"/>
      <c r="H4" s="17"/>
      <c r="I4" s="4">
        <v>1.41</v>
      </c>
      <c r="J4" s="6"/>
      <c r="K4" s="17"/>
      <c r="L4" s="4">
        <v>0.34</v>
      </c>
      <c r="M4" s="6"/>
      <c r="N4" s="17"/>
      <c r="O4" s="4"/>
      <c r="P4" s="4"/>
      <c r="Q4" s="4"/>
      <c r="R4" s="4"/>
      <c r="S4" s="10"/>
      <c r="T4" s="10"/>
    </row>
    <row r="5" spans="1:20">
      <c r="A5" s="5"/>
      <c r="B5" s="4">
        <v>3</v>
      </c>
      <c r="C5" s="4">
        <v>9.78</v>
      </c>
      <c r="D5" s="6"/>
      <c r="E5" s="17"/>
      <c r="F5" s="4">
        <v>0.28</v>
      </c>
      <c r="G5" s="6"/>
      <c r="H5" s="17"/>
      <c r="I5" s="4">
        <v>1.37</v>
      </c>
      <c r="J5" s="6"/>
      <c r="K5" s="17"/>
      <c r="L5" s="4">
        <v>0.31</v>
      </c>
      <c r="M5" s="6"/>
      <c r="N5" s="17"/>
      <c r="O5" s="4"/>
      <c r="P5" s="4"/>
      <c r="Q5" s="4"/>
      <c r="R5" s="4"/>
      <c r="S5" s="10"/>
      <c r="T5" s="10"/>
    </row>
    <row r="6" spans="1:20">
      <c r="A6" s="5" t="s">
        <v>3</v>
      </c>
      <c r="B6" s="4">
        <v>1</v>
      </c>
      <c r="C6" s="4">
        <v>8.61</v>
      </c>
      <c r="D6" s="6">
        <f>AVERAGE(C6:C8)</f>
        <v>7.94666666666667</v>
      </c>
      <c r="E6" s="17">
        <f>STDEV(C6:C8)</f>
        <v>0.74540816559341</v>
      </c>
      <c r="F6" s="4">
        <v>0.26</v>
      </c>
      <c r="G6" s="6">
        <f>AVERAGE(F6:F8)</f>
        <v>0.233333333333333</v>
      </c>
      <c r="H6" s="17">
        <f>STDEV(F6:F8)</f>
        <v>0.0251661147842358</v>
      </c>
      <c r="I6" s="4">
        <v>0.97</v>
      </c>
      <c r="J6" s="6">
        <f>AVERAGE(I6:I8)</f>
        <v>1.02666666666667</v>
      </c>
      <c r="K6" s="17">
        <f>STDEV(I6:I8)</f>
        <v>0.0602771377334171</v>
      </c>
      <c r="L6" s="4">
        <v>0.27</v>
      </c>
      <c r="M6" s="6">
        <f>AVERAGE(L6:L8)</f>
        <v>0.26</v>
      </c>
      <c r="N6" s="17">
        <f>STDEV(L6:L8)</f>
        <v>0.01</v>
      </c>
      <c r="O6" s="4"/>
      <c r="P6" s="4"/>
      <c r="Q6" s="4"/>
      <c r="R6" s="4"/>
      <c r="S6" s="10"/>
      <c r="T6" s="10"/>
    </row>
    <row r="7" spans="1:20">
      <c r="A7" s="5"/>
      <c r="B7" s="4">
        <v>2</v>
      </c>
      <c r="C7" s="4">
        <v>7.14</v>
      </c>
      <c r="D7" s="6"/>
      <c r="E7" s="17"/>
      <c r="F7" s="4">
        <v>0.21</v>
      </c>
      <c r="G7" s="6"/>
      <c r="H7" s="17"/>
      <c r="I7" s="4">
        <v>1.02</v>
      </c>
      <c r="J7" s="6"/>
      <c r="K7" s="17"/>
      <c r="L7" s="4">
        <v>0.26</v>
      </c>
      <c r="M7" s="6"/>
      <c r="N7" s="17"/>
      <c r="O7" s="4"/>
      <c r="P7" s="4"/>
      <c r="Q7" s="4"/>
      <c r="R7" s="4"/>
      <c r="S7" s="10"/>
      <c r="T7" s="10"/>
    </row>
    <row r="8" spans="1:20">
      <c r="A8" s="7"/>
      <c r="B8" s="8">
        <v>3</v>
      </c>
      <c r="C8" s="8">
        <v>8.09</v>
      </c>
      <c r="D8" s="9"/>
      <c r="E8" s="18"/>
      <c r="F8" s="8">
        <v>0.23</v>
      </c>
      <c r="G8" s="9"/>
      <c r="H8" s="18"/>
      <c r="I8" s="8">
        <v>1.09</v>
      </c>
      <c r="J8" s="9"/>
      <c r="K8" s="18"/>
      <c r="L8" s="8">
        <v>0.25</v>
      </c>
      <c r="M8" s="9"/>
      <c r="N8" s="18"/>
      <c r="O8" s="4"/>
      <c r="P8" s="4"/>
      <c r="Q8" s="4"/>
      <c r="R8" s="4"/>
      <c r="S8" s="10"/>
      <c r="T8" s="10"/>
    </row>
    <row r="9" spans="1:20">
      <c r="A9" s="10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10"/>
      <c r="T9" s="10"/>
    </row>
    <row r="10" spans="1:20">
      <c r="A10" s="10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10"/>
      <c r="T10" s="10"/>
    </row>
    <row r="11" spans="1:20">
      <c r="A11" s="11"/>
      <c r="B11" s="12" t="s">
        <v>6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22"/>
      <c r="O11" s="23"/>
      <c r="P11" s="23"/>
      <c r="Q11" s="24"/>
      <c r="R11" s="23"/>
      <c r="S11" s="25"/>
      <c r="T11" s="26"/>
    </row>
    <row r="12" ht="17" spans="1:20">
      <c r="A12" s="3" t="s">
        <v>14</v>
      </c>
      <c r="B12" s="4"/>
      <c r="C12" s="4" t="s">
        <v>15</v>
      </c>
      <c r="D12" s="4" t="s">
        <v>9</v>
      </c>
      <c r="E12" s="16" t="s">
        <v>10</v>
      </c>
      <c r="F12" s="4" t="s">
        <v>16</v>
      </c>
      <c r="G12" s="4" t="s">
        <v>9</v>
      </c>
      <c r="H12" s="16" t="s">
        <v>10</v>
      </c>
      <c r="I12" s="4" t="s">
        <v>17</v>
      </c>
      <c r="J12" s="4" t="s">
        <v>9</v>
      </c>
      <c r="K12" s="16" t="s">
        <v>10</v>
      </c>
      <c r="L12" s="4" t="s">
        <v>18</v>
      </c>
      <c r="M12" s="4" t="s">
        <v>9</v>
      </c>
      <c r="N12" s="16" t="s">
        <v>10</v>
      </c>
      <c r="O12" s="4" t="s">
        <v>19</v>
      </c>
      <c r="P12" s="4" t="s">
        <v>9</v>
      </c>
      <c r="Q12" s="16" t="s">
        <v>10</v>
      </c>
      <c r="R12" s="4" t="s">
        <v>20</v>
      </c>
      <c r="S12" s="27" t="s">
        <v>21</v>
      </c>
      <c r="T12" s="28" t="s">
        <v>22</v>
      </c>
    </row>
    <row r="13" spans="1:20">
      <c r="A13" s="5" t="s">
        <v>2</v>
      </c>
      <c r="B13" s="4">
        <v>1</v>
      </c>
      <c r="C13" s="4">
        <v>5.86</v>
      </c>
      <c r="D13" s="6">
        <f>AVERAGE(C13:C15)</f>
        <v>6.30333333333333</v>
      </c>
      <c r="E13" s="17">
        <f>STDEV(C13:C15)</f>
        <v>0.47815618090048</v>
      </c>
      <c r="F13" s="4">
        <v>1.29</v>
      </c>
      <c r="G13" s="6">
        <f>AVERAGE(F13:F15)</f>
        <v>1.26</v>
      </c>
      <c r="H13" s="17">
        <f>STDEV(F13:F15)</f>
        <v>0.0984885780179611</v>
      </c>
      <c r="I13" s="4">
        <v>3.7</v>
      </c>
      <c r="J13" s="6">
        <f>AVERAGE(I13:I15)</f>
        <v>3.56666666666667</v>
      </c>
      <c r="K13" s="17">
        <f>STDEV(I13:I15)</f>
        <v>1.1060440015358</v>
      </c>
      <c r="L13" s="4">
        <v>42.6</v>
      </c>
      <c r="M13" s="6">
        <f>AVERAGE(L13:L15)</f>
        <v>39.3666666666667</v>
      </c>
      <c r="N13" s="17">
        <f>STDEV(L13:L15)</f>
        <v>2.92631736715848</v>
      </c>
      <c r="O13" s="4">
        <v>0.26</v>
      </c>
      <c r="P13" s="6">
        <f>AVERAGE(O13:O15)</f>
        <v>0.353333333333333</v>
      </c>
      <c r="Q13" s="17">
        <f>STDEV(O13:O15)</f>
        <v>0.106926766215636</v>
      </c>
      <c r="R13" s="4">
        <v>1.26</v>
      </c>
      <c r="S13" s="13">
        <f>AVERAGE(R13:R15)</f>
        <v>0.923333333333333</v>
      </c>
      <c r="T13" s="19">
        <f>STDEV(R13:R15)</f>
        <v>0.356417358350198</v>
      </c>
    </row>
    <row r="14" spans="1:20">
      <c r="A14" s="5"/>
      <c r="B14" s="4">
        <v>2</v>
      </c>
      <c r="C14" s="4">
        <v>6.81</v>
      </c>
      <c r="D14" s="6"/>
      <c r="E14" s="17"/>
      <c r="F14" s="4">
        <v>1.15</v>
      </c>
      <c r="G14" s="6"/>
      <c r="H14" s="17"/>
      <c r="I14" s="4">
        <v>2.4</v>
      </c>
      <c r="J14" s="6"/>
      <c r="K14" s="17"/>
      <c r="L14" s="4">
        <v>36.9</v>
      </c>
      <c r="M14" s="6"/>
      <c r="N14" s="17"/>
      <c r="O14" s="4">
        <v>0.33</v>
      </c>
      <c r="P14" s="6"/>
      <c r="Q14" s="17"/>
      <c r="R14" s="4">
        <v>0.96</v>
      </c>
      <c r="S14" s="13"/>
      <c r="T14" s="19"/>
    </row>
    <row r="15" spans="1:20">
      <c r="A15" s="5"/>
      <c r="B15" s="4">
        <v>3</v>
      </c>
      <c r="C15" s="4">
        <v>6.24</v>
      </c>
      <c r="D15" s="6"/>
      <c r="E15" s="17"/>
      <c r="F15" s="4">
        <v>1.34</v>
      </c>
      <c r="G15" s="6"/>
      <c r="H15" s="17"/>
      <c r="I15" s="4">
        <v>4.6</v>
      </c>
      <c r="J15" s="6"/>
      <c r="K15" s="17"/>
      <c r="L15" s="4">
        <v>38.6</v>
      </c>
      <c r="M15" s="6"/>
      <c r="N15" s="17"/>
      <c r="O15" s="4">
        <v>0.47</v>
      </c>
      <c r="P15" s="6"/>
      <c r="Q15" s="17"/>
      <c r="R15" s="4">
        <v>0.55</v>
      </c>
      <c r="S15" s="15"/>
      <c r="T15" s="20"/>
    </row>
    <row r="16" spans="1:20">
      <c r="A16" s="5" t="s">
        <v>3</v>
      </c>
      <c r="B16" s="10">
        <v>1</v>
      </c>
      <c r="C16" s="10">
        <v>8.92</v>
      </c>
      <c r="D16" s="13">
        <f>AVERAGE(C16:C18)</f>
        <v>9.31666666666667</v>
      </c>
      <c r="E16" s="19">
        <f>STDEV(C16:C18)</f>
        <v>0.343850742813409</v>
      </c>
      <c r="F16" s="10">
        <v>2.68</v>
      </c>
      <c r="G16" s="13">
        <f>AVERAGE(F16:F18)</f>
        <v>2.26</v>
      </c>
      <c r="H16" s="19">
        <f>STDEV(F16:F18)</f>
        <v>0.363868107973205</v>
      </c>
      <c r="I16" s="10">
        <v>7.22</v>
      </c>
      <c r="J16" s="13">
        <f>AVERAGE(I16:I18)</f>
        <v>6.85</v>
      </c>
      <c r="K16" s="19">
        <f>STDEV(I16:I18)</f>
        <v>0.347706773014274</v>
      </c>
      <c r="L16" s="10">
        <v>42.6</v>
      </c>
      <c r="M16" s="13">
        <f>AVERAGE(L16:L18)</f>
        <v>39.3666666666667</v>
      </c>
      <c r="N16" s="19">
        <f>STDEV(L16:L18)</f>
        <v>2.92631736715848</v>
      </c>
      <c r="O16" s="10">
        <v>1.89</v>
      </c>
      <c r="P16" s="13">
        <f>AVERAGE(O16:O18)</f>
        <v>1.46333333333333</v>
      </c>
      <c r="Q16" s="19">
        <f>STDEV(O16:O18)</f>
        <v>0.37607623340665</v>
      </c>
      <c r="R16" s="10">
        <v>3.36</v>
      </c>
      <c r="S16" s="13">
        <f>AVERAGE(R16:R18)</f>
        <v>2.54</v>
      </c>
      <c r="T16" s="19">
        <f>STDEV(R16:R18)</f>
        <v>0.712671032103873</v>
      </c>
    </row>
    <row r="17" spans="1:20">
      <c r="A17" s="5"/>
      <c r="B17" s="10">
        <v>2</v>
      </c>
      <c r="C17" s="10">
        <v>9.53</v>
      </c>
      <c r="D17" s="13"/>
      <c r="E17" s="19"/>
      <c r="F17" s="10">
        <v>2.06</v>
      </c>
      <c r="G17" s="13"/>
      <c r="H17" s="19"/>
      <c r="I17" s="10">
        <v>6.53</v>
      </c>
      <c r="J17" s="13"/>
      <c r="K17" s="19"/>
      <c r="L17" s="10">
        <v>36.9</v>
      </c>
      <c r="M17" s="13"/>
      <c r="N17" s="19"/>
      <c r="O17" s="10">
        <v>1.18</v>
      </c>
      <c r="P17" s="13"/>
      <c r="Q17" s="19"/>
      <c r="R17" s="10">
        <v>2.19</v>
      </c>
      <c r="S17" s="13"/>
      <c r="T17" s="19"/>
    </row>
    <row r="18" spans="1:20">
      <c r="A18" s="7"/>
      <c r="B18" s="14">
        <v>3</v>
      </c>
      <c r="C18" s="14">
        <v>9.5</v>
      </c>
      <c r="D18" s="15"/>
      <c r="E18" s="20"/>
      <c r="F18" s="14">
        <v>2.04</v>
      </c>
      <c r="G18" s="15"/>
      <c r="H18" s="20"/>
      <c r="I18" s="14">
        <v>6.8</v>
      </c>
      <c r="J18" s="15"/>
      <c r="K18" s="20"/>
      <c r="L18" s="14">
        <v>38.6</v>
      </c>
      <c r="M18" s="15"/>
      <c r="N18" s="20"/>
      <c r="O18" s="14">
        <v>1.32</v>
      </c>
      <c r="P18" s="15"/>
      <c r="Q18" s="20"/>
      <c r="R18" s="10">
        <v>2.07</v>
      </c>
      <c r="S18" s="15"/>
      <c r="T18" s="20"/>
    </row>
  </sheetData>
  <mergeCells count="46">
    <mergeCell ref="B1:N1"/>
    <mergeCell ref="B11:N11"/>
    <mergeCell ref="A3:A5"/>
    <mergeCell ref="A6:A8"/>
    <mergeCell ref="A13:A15"/>
    <mergeCell ref="A16:A18"/>
    <mergeCell ref="D3:D5"/>
    <mergeCell ref="D6:D8"/>
    <mergeCell ref="D13:D15"/>
    <mergeCell ref="D16:D18"/>
    <mergeCell ref="E3:E5"/>
    <mergeCell ref="E6:E8"/>
    <mergeCell ref="E13:E15"/>
    <mergeCell ref="E16:E18"/>
    <mergeCell ref="G3:G5"/>
    <mergeCell ref="G6:G8"/>
    <mergeCell ref="G13:G15"/>
    <mergeCell ref="G16:G18"/>
    <mergeCell ref="H3:H5"/>
    <mergeCell ref="H6:H8"/>
    <mergeCell ref="H13:H15"/>
    <mergeCell ref="H16:H18"/>
    <mergeCell ref="J3:J5"/>
    <mergeCell ref="J6:J8"/>
    <mergeCell ref="J13:J15"/>
    <mergeCell ref="J16:J18"/>
    <mergeCell ref="K3:K5"/>
    <mergeCell ref="K6:K8"/>
    <mergeCell ref="K13:K15"/>
    <mergeCell ref="K16:K18"/>
    <mergeCell ref="M3:M5"/>
    <mergeCell ref="M6:M8"/>
    <mergeCell ref="M13:M15"/>
    <mergeCell ref="M16:M18"/>
    <mergeCell ref="N3:N5"/>
    <mergeCell ref="N6:N8"/>
    <mergeCell ref="N13:N15"/>
    <mergeCell ref="N16:N18"/>
    <mergeCell ref="P13:P15"/>
    <mergeCell ref="P16:P18"/>
    <mergeCell ref="Q13:Q15"/>
    <mergeCell ref="Q16:Q18"/>
    <mergeCell ref="S13:S15"/>
    <mergeCell ref="S16:S18"/>
    <mergeCell ref="T13:T15"/>
    <mergeCell ref="T16:T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diet and growth</vt:lpstr>
      <vt:lpstr>blood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</dc:creator>
  <cp:lastModifiedBy>XZM</cp:lastModifiedBy>
  <dcterms:created xsi:type="dcterms:W3CDTF">2025-11-19T16:17:26Z</dcterms:created>
  <dcterms:modified xsi:type="dcterms:W3CDTF">2025-11-19T17:11:40Z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9C0F512D86005EE666C31D69741C6B0B_41</vt:lpwstr>
  </property>
  <property fmtid="{D5CDD505-2E9C-101B-9397-08002B2CF9AE}" pid="3" name="KSOProductBuildVer">
    <vt:lpwstr>2052-6.3.0.8471</vt:lpwstr>
  </property>
</Properties>
</file>