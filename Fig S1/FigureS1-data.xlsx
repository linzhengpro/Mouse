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 activeTab="1"/>
  </bookViews>
  <sheets>
    <sheet name="diet and growth" sheetId="1" r:id="rId1"/>
    <sheet name="blo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<sst xmlns="http://schemas.openxmlformats.org/spreadsheetml/2006/main" count="108" uniqueCount="41">
  <si>
    <t>Body Weight, g</t>
  </si>
  <si>
    <t>Mouse_ID</t>
  </si>
  <si>
    <t>Week 0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</si>
  <si>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</si>
  <si>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</si>
  <si>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</si>
  <si>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</si>
  <si>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</si>
  <si>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</si>
  <si>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</si>
  <si>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</si>
  <si>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</si>
  <si>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CK</t>
  </si>
  <si>
    <t>CK_1</t>
  </si>
  <si>
    <t>CK_2</t>
  </si>
  <si>
    <t>CK_3</t>
  </si>
  <si>
    <t>NPs</t>
  </si>
  <si>
    <t>NPs_1</t>
  </si>
  <si>
    <t>NPs_2</t>
  </si>
  <si>
    <t>NPs_3</t>
  </si>
  <si>
    <t>Drinking, mL</t>
  </si>
  <si>
    <t>Cage_ID</t>
  </si>
  <si>
    <t>Cage_1</t>
  </si>
  <si>
    <t>Cage_2</t>
  </si>
  <si>
    <t>Cage_3</t>
  </si>
  <si>
    <t>Eating, g</t>
  </si>
  <si>
    <t>Nine weeks after exposure</t>
  </si>
  <si>
    <t>treatment</t>
  </si>
  <si>
    <t>Colon length/ cm</t>
  </si>
  <si>
    <t>mean</t>
  </si>
  <si>
    <t>sd</t>
  </si>
  <si>
    <t>Colon weight/ g</t>
  </si>
  <si>
    <t>Liver weight/ g</t>
  </si>
  <si>
    <t>Kidney weight/ g</t>
  </si>
  <si>
    <t>处理</t>
  </si>
  <si>
    <t>Glu/ umol/L</t>
  </si>
  <si>
    <t>TC/ umol/L</t>
  </si>
  <si>
    <t>TBA/ umol/L</t>
  </si>
  <si>
    <t>PYR/ umol/L</t>
  </si>
  <si>
    <t>TG/ umol/L</t>
  </si>
  <si>
    <t>ARG/ U/L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</si>
</sst>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4" xfId="0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1" fillId="0" borderId="0" xfId="0" applyFont="1">
      <alignment vertical="center"/>
    </xf>
    <xf numFmtId="0" fontId="3" fillId="0" borderId="10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O14" sqref="O14"/>
    </sheetView>
  </sheetViews>
  <sheetFormatPr defaultColWidth="9.22727272727273" defaultRowHeight="14"/>
  <cols>
    <col min="1" max="1" width="21.1545454545455" customWidth="1"/>
    <col min="2" max="2" width="20.1909090909091" customWidth="1"/>
  </cols>
  <sheetData>
    <row r="1" ht="14.75" spans="1:12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</row>
    <row r="2" ht="14.75" spans="1:12">
      <c r="A2" s="22" t="s">
        <v>12</v>
      </c>
      <c r="B2" s="22" t="s">
        <v>13</v>
      </c>
      <c r="C2" s="22">
        <v>28.12</v>
      </c>
      <c r="D2" s="22">
        <v>28.63</v>
      </c>
      <c r="E2" s="22">
        <v>35.64</v>
      </c>
      <c r="F2" s="22">
        <v>37.19</v>
      </c>
      <c r="G2" s="22">
        <v>37.86</v>
      </c>
      <c r="H2" s="22">
        <v>38.94</v>
      </c>
      <c r="I2" s="22">
        <v>40.91</v>
      </c>
      <c r="J2" s="22">
        <v>41.01</v>
      </c>
      <c r="K2" s="22">
        <v>42.67</v>
      </c>
      <c r="L2" s="22">
        <v>43.83</v>
      </c>
    </row>
    <row r="3" ht="14.75" spans="1:12">
      <c r="A3" s="22" t="s">
        <v>12</v>
      </c>
      <c r="B3" s="22" t="s">
        <v>14</v>
      </c>
      <c r="C3" s="22">
        <v>27.48</v>
      </c>
      <c r="D3" s="22">
        <v>27.77</v>
      </c>
      <c r="E3" s="22">
        <v>34.16</v>
      </c>
      <c r="F3" s="22">
        <v>35.92</v>
      </c>
      <c r="G3" s="22">
        <v>38.45</v>
      </c>
      <c r="H3" s="22">
        <v>39.02</v>
      </c>
      <c r="I3" s="22">
        <v>39.99</v>
      </c>
      <c r="J3" s="22">
        <v>40.51</v>
      </c>
      <c r="K3" s="22">
        <v>41.68</v>
      </c>
      <c r="L3" s="22">
        <v>42.31</v>
      </c>
    </row>
    <row r="4" ht="14.75" spans="1:12">
      <c r="A4" s="22" t="s">
        <v>12</v>
      </c>
      <c r="B4" s="22" t="s">
        <v>15</v>
      </c>
      <c r="C4" s="22">
        <v>28.62</v>
      </c>
      <c r="D4" s="22">
        <v>29.22</v>
      </c>
      <c r="E4" s="22">
        <v>35.09</v>
      </c>
      <c r="F4" s="22">
        <v>37.47</v>
      </c>
      <c r="G4" s="22">
        <v>38.3</v>
      </c>
      <c r="H4" s="22">
        <v>38.72</v>
      </c>
      <c r="I4" s="22">
        <v>40.63</v>
      </c>
      <c r="J4" s="22">
        <v>42.05</v>
      </c>
      <c r="K4" s="22">
        <v>42.32</v>
      </c>
      <c r="L4" s="22">
        <v>43.37</v>
      </c>
    </row>
    <row r="5" ht="14.75" spans="1:12">
      <c r="A5" s="22" t="s">
        <v>16</v>
      </c>
      <c r="B5" s="22" t="s">
        <v>17</v>
      </c>
      <c r="C5" s="22">
        <v>25.92</v>
      </c>
      <c r="D5" s="22">
        <v>27.13</v>
      </c>
      <c r="E5" s="22">
        <v>33.51</v>
      </c>
      <c r="F5" s="22">
        <v>35.57</v>
      </c>
      <c r="G5" s="22">
        <v>35.61</v>
      </c>
      <c r="H5" s="22">
        <v>36.77</v>
      </c>
      <c r="I5" s="22">
        <v>37.95</v>
      </c>
      <c r="J5" s="22">
        <v>37.83</v>
      </c>
      <c r="K5" s="22">
        <v>39.32</v>
      </c>
      <c r="L5" s="22">
        <v>40.13</v>
      </c>
    </row>
    <row r="6" ht="14.75" spans="1:12">
      <c r="A6" s="22" t="s">
        <v>16</v>
      </c>
      <c r="B6" s="22" t="s">
        <v>18</v>
      </c>
      <c r="C6" s="22">
        <v>27.88</v>
      </c>
      <c r="D6" s="22">
        <v>28.23</v>
      </c>
      <c r="E6" s="22">
        <v>35.91</v>
      </c>
      <c r="F6" s="22">
        <v>37.01</v>
      </c>
      <c r="G6" s="22">
        <v>37.71</v>
      </c>
      <c r="H6" s="22">
        <v>39.29</v>
      </c>
      <c r="I6" s="22">
        <v>40.2</v>
      </c>
      <c r="J6" s="22">
        <v>40.52</v>
      </c>
      <c r="K6" s="22">
        <v>41.63</v>
      </c>
      <c r="L6" s="22">
        <v>42.68</v>
      </c>
    </row>
    <row r="7" ht="14.75" spans="1:12">
      <c r="A7" s="22" t="s">
        <v>16</v>
      </c>
      <c r="B7" s="22" t="s">
        <v>19</v>
      </c>
      <c r="C7" s="22">
        <v>26.61</v>
      </c>
      <c r="D7" s="22">
        <v>27.95</v>
      </c>
      <c r="E7" s="22">
        <v>34.31</v>
      </c>
      <c r="F7" s="22">
        <v>36.01</v>
      </c>
      <c r="G7" s="22">
        <v>37.46</v>
      </c>
      <c r="H7" s="22">
        <v>38.18</v>
      </c>
      <c r="I7" s="22">
        <v>38.55</v>
      </c>
      <c r="J7" s="22">
        <v>39.69</v>
      </c>
      <c r="K7" s="22">
        <v>40.85</v>
      </c>
      <c r="L7" s="22">
        <v>41.01</v>
      </c>
    </row>
    <row r="8" spans="1:1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ht="14.75" spans="1:1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ht="14.75" spans="1:12">
      <c r="A10" s="21" t="s">
        <v>20</v>
      </c>
      <c r="B10" s="22" t="s">
        <v>21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1"/>
    </row>
    <row r="11" ht="14.75" spans="1:12">
      <c r="A11" s="22" t="s">
        <v>12</v>
      </c>
      <c r="B11" s="22" t="s">
        <v>22</v>
      </c>
      <c r="C11" s="22">
        <v>37.49</v>
      </c>
      <c r="D11" s="22">
        <v>41.59</v>
      </c>
      <c r="E11" s="22">
        <v>38.74</v>
      </c>
      <c r="F11" s="22">
        <v>39.91</v>
      </c>
      <c r="G11" s="22">
        <v>37.6</v>
      </c>
      <c r="H11" s="22">
        <v>33.91</v>
      </c>
      <c r="I11" s="22">
        <v>37.28</v>
      </c>
      <c r="J11" s="22">
        <v>31.83</v>
      </c>
      <c r="K11" s="22">
        <v>36.32</v>
      </c>
      <c r="L11" s="21"/>
    </row>
    <row r="12" ht="14.75" spans="1:12">
      <c r="A12" s="22" t="s">
        <v>12</v>
      </c>
      <c r="B12" s="22" t="s">
        <v>23</v>
      </c>
      <c r="C12" s="22">
        <v>35.59</v>
      </c>
      <c r="D12" s="22">
        <v>39.06</v>
      </c>
      <c r="E12" s="22">
        <v>32.32</v>
      </c>
      <c r="F12" s="22">
        <v>35.51</v>
      </c>
      <c r="G12" s="22">
        <v>39.39</v>
      </c>
      <c r="H12" s="22">
        <v>29.35</v>
      </c>
      <c r="I12" s="22">
        <v>30.65</v>
      </c>
      <c r="J12" s="22">
        <v>31.54</v>
      </c>
      <c r="K12" s="22">
        <v>37.52</v>
      </c>
      <c r="L12" s="21"/>
    </row>
    <row r="13" ht="14.75" spans="1:12">
      <c r="A13" s="22" t="s">
        <v>12</v>
      </c>
      <c r="B13" s="22" t="s">
        <v>24</v>
      </c>
      <c r="C13" s="22">
        <v>34.92</v>
      </c>
      <c r="D13" s="22">
        <v>40.25</v>
      </c>
      <c r="E13" s="22">
        <v>39.34</v>
      </c>
      <c r="F13" s="22">
        <v>30.78</v>
      </c>
      <c r="G13" s="22">
        <v>38.51</v>
      </c>
      <c r="H13" s="22">
        <v>32.74</v>
      </c>
      <c r="I13" s="22">
        <v>39.46</v>
      </c>
      <c r="J13" s="22">
        <v>40.13</v>
      </c>
      <c r="K13" s="22">
        <v>36.57</v>
      </c>
      <c r="L13" s="21"/>
    </row>
    <row r="14" ht="14.75" spans="1:12">
      <c r="A14" s="22" t="s">
        <v>16</v>
      </c>
      <c r="B14" s="22" t="s">
        <v>22</v>
      </c>
      <c r="C14" s="22">
        <v>40.57</v>
      </c>
      <c r="D14" s="22">
        <v>40.59</v>
      </c>
      <c r="E14" s="22">
        <v>33.92</v>
      </c>
      <c r="F14" s="22">
        <v>36.49</v>
      </c>
      <c r="G14" s="22">
        <v>32.61</v>
      </c>
      <c r="H14" s="22">
        <v>34.19</v>
      </c>
      <c r="I14" s="22">
        <v>37.96</v>
      </c>
      <c r="J14" s="22">
        <v>40.67</v>
      </c>
      <c r="K14" s="22">
        <v>47.96</v>
      </c>
      <c r="L14" s="21"/>
    </row>
    <row r="15" ht="14.75" spans="1:12">
      <c r="A15" s="22" t="s">
        <v>16</v>
      </c>
      <c r="B15" s="22" t="s">
        <v>23</v>
      </c>
      <c r="C15" s="22">
        <v>36.81</v>
      </c>
      <c r="D15" s="22">
        <v>39.07</v>
      </c>
      <c r="E15" s="22">
        <v>28.59</v>
      </c>
      <c r="F15" s="22">
        <v>34.82</v>
      </c>
      <c r="G15" s="22">
        <v>31.96</v>
      </c>
      <c r="H15" s="22">
        <v>33.72</v>
      </c>
      <c r="I15" s="22">
        <v>38.85</v>
      </c>
      <c r="J15" s="22">
        <v>44.97</v>
      </c>
      <c r="K15" s="22">
        <v>44.15</v>
      </c>
      <c r="L15" s="21"/>
    </row>
    <row r="16" ht="14.75" spans="1:12">
      <c r="A16" s="22" t="s">
        <v>16</v>
      </c>
      <c r="B16" s="22" t="s">
        <v>24</v>
      </c>
      <c r="C16" s="22">
        <v>35.12</v>
      </c>
      <c r="D16" s="22">
        <v>39.75</v>
      </c>
      <c r="E16" s="22">
        <v>36.19</v>
      </c>
      <c r="F16" s="22">
        <v>35.49</v>
      </c>
      <c r="G16" s="22">
        <v>37.43</v>
      </c>
      <c r="H16" s="22">
        <v>38.6</v>
      </c>
      <c r="I16" s="22">
        <v>33.89</v>
      </c>
      <c r="J16" s="22">
        <v>48.16</v>
      </c>
      <c r="K16" s="22">
        <v>49.2</v>
      </c>
      <c r="L16" s="21"/>
    </row>
    <row r="17" spans="1:1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ht="14.75" spans="1:1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ht="14.75" spans="1:12">
      <c r="A19" s="21" t="s">
        <v>25</v>
      </c>
      <c r="B19" s="22" t="s">
        <v>21</v>
      </c>
      <c r="C19" s="22" t="s">
        <v>3</v>
      </c>
      <c r="D19" s="22" t="s">
        <v>4</v>
      </c>
      <c r="E19" s="22" t="s">
        <v>5</v>
      </c>
      <c r="F19" s="22" t="s">
        <v>6</v>
      </c>
      <c r="G19" s="22" t="s">
        <v>7</v>
      </c>
      <c r="H19" s="22" t="s">
        <v>8</v>
      </c>
      <c r="I19" s="22" t="s">
        <v>9</v>
      </c>
      <c r="J19" s="22" t="s">
        <v>10</v>
      </c>
      <c r="K19" s="22" t="s">
        <v>11</v>
      </c>
      <c r="L19" s="21"/>
    </row>
    <row r="20" ht="14.75" spans="1:12">
      <c r="A20" s="22" t="s">
        <v>12</v>
      </c>
      <c r="B20" s="22" t="s">
        <v>22</v>
      </c>
      <c r="C20" s="22">
        <v>24.62</v>
      </c>
      <c r="D20" s="22">
        <v>26.39</v>
      </c>
      <c r="E20" s="22">
        <v>24.08</v>
      </c>
      <c r="F20" s="22">
        <v>24.13</v>
      </c>
      <c r="G20" s="22">
        <v>22.84</v>
      </c>
      <c r="H20" s="22">
        <v>26.68</v>
      </c>
      <c r="I20" s="22">
        <v>24.07</v>
      </c>
      <c r="J20" s="22">
        <v>23.47</v>
      </c>
      <c r="K20" s="22">
        <v>24.59</v>
      </c>
      <c r="L20" s="21"/>
    </row>
    <row r="21" ht="14.75" spans="1:12">
      <c r="A21" s="22" t="s">
        <v>12</v>
      </c>
      <c r="B21" s="22" t="s">
        <v>23</v>
      </c>
      <c r="C21" s="22">
        <v>26.61</v>
      </c>
      <c r="D21" s="22">
        <v>28.42</v>
      </c>
      <c r="E21" s="22">
        <v>21.26</v>
      </c>
      <c r="F21" s="22">
        <v>23.46</v>
      </c>
      <c r="G21" s="22">
        <v>25.04</v>
      </c>
      <c r="H21" s="22">
        <v>24.38</v>
      </c>
      <c r="I21" s="22">
        <v>21.03</v>
      </c>
      <c r="J21" s="22">
        <v>23.32</v>
      </c>
      <c r="K21" s="22">
        <v>25.54</v>
      </c>
      <c r="L21" s="21"/>
    </row>
    <row r="22" ht="14.75" spans="1:12">
      <c r="A22" s="22" t="s">
        <v>12</v>
      </c>
      <c r="B22" s="22" t="s">
        <v>24</v>
      </c>
      <c r="C22" s="22">
        <v>24.67</v>
      </c>
      <c r="D22" s="22">
        <v>28.59</v>
      </c>
      <c r="E22" s="22">
        <v>25.16</v>
      </c>
      <c r="F22" s="22">
        <v>22.61</v>
      </c>
      <c r="G22" s="22">
        <v>25.92</v>
      </c>
      <c r="H22" s="22">
        <v>26.04</v>
      </c>
      <c r="I22" s="22">
        <v>25.71</v>
      </c>
      <c r="J22" s="22">
        <v>26.11</v>
      </c>
      <c r="K22" s="22">
        <v>25.77</v>
      </c>
      <c r="L22" s="21"/>
    </row>
    <row r="23" ht="14.75" spans="1:12">
      <c r="A23" s="22" t="s">
        <v>16</v>
      </c>
      <c r="B23" s="22" t="s">
        <v>22</v>
      </c>
      <c r="C23" s="22">
        <v>26.83</v>
      </c>
      <c r="D23" s="22">
        <v>28.59</v>
      </c>
      <c r="E23" s="22">
        <v>23.71</v>
      </c>
      <c r="F23" s="22">
        <v>23.54</v>
      </c>
      <c r="G23" s="22">
        <v>20.71</v>
      </c>
      <c r="H23" s="22">
        <v>20.94</v>
      </c>
      <c r="I23" s="22">
        <v>21.73</v>
      </c>
      <c r="J23" s="22">
        <v>20.13</v>
      </c>
      <c r="K23" s="22">
        <v>20.27</v>
      </c>
      <c r="L23" s="21"/>
    </row>
    <row r="24" ht="14.75" spans="1:12">
      <c r="A24" s="22" t="s">
        <v>16</v>
      </c>
      <c r="B24" s="22" t="s">
        <v>23</v>
      </c>
      <c r="C24" s="22">
        <v>23.66</v>
      </c>
      <c r="D24" s="22">
        <v>27.83</v>
      </c>
      <c r="E24" s="22">
        <v>21.05</v>
      </c>
      <c r="F24" s="22">
        <v>22.71</v>
      </c>
      <c r="G24" s="22">
        <v>20.38</v>
      </c>
      <c r="H24" s="22">
        <v>20.71</v>
      </c>
      <c r="I24" s="22">
        <v>22.17</v>
      </c>
      <c r="J24" s="22">
        <v>22.28</v>
      </c>
      <c r="K24" s="22">
        <v>19.23</v>
      </c>
      <c r="L24" s="21"/>
    </row>
    <row r="25" ht="14.75" spans="1:12">
      <c r="A25" s="22" t="s">
        <v>16</v>
      </c>
      <c r="B25" s="22" t="s">
        <v>24</v>
      </c>
      <c r="C25" s="22">
        <v>25.4</v>
      </c>
      <c r="D25" s="22">
        <v>28.18</v>
      </c>
      <c r="E25" s="22">
        <v>24.84</v>
      </c>
      <c r="F25" s="22">
        <v>23.05</v>
      </c>
      <c r="G25" s="22">
        <v>23.11</v>
      </c>
      <c r="H25" s="22">
        <v>23.15</v>
      </c>
      <c r="I25" s="22">
        <v>19.7</v>
      </c>
      <c r="J25" s="22">
        <v>23.88</v>
      </c>
      <c r="K25" s="22">
        <v>22.6</v>
      </c>
      <c r="L25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M21" sqref="M21"/>
    </sheetView>
  </sheetViews>
  <sheetFormatPr defaultColWidth="9.22727272727273" defaultRowHeight="14"/>
  <cols>
    <col min="1" max="1" width="15.1545454545455" customWidth="1"/>
    <col min="3" max="3" width="18.1545454545455" customWidth="1"/>
    <col min="5" max="5" width="10.3090909090909" customWidth="1"/>
    <col min="6" max="6" width="16.6909090909091" customWidth="1"/>
    <col min="8" max="8" width="10.3090909090909" customWidth="1"/>
    <col min="9" max="9" width="15.8454545454545" customWidth="1"/>
    <col min="11" max="11" width="10.3090909090909" customWidth="1"/>
  </cols>
  <sheetData>
    <row r="1" spans="1:20">
      <c r="A1" s="1"/>
      <c r="B1" s="2" t="s">
        <v>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</row>
    <row r="2" spans="1:20">
      <c r="A2" s="5" t="s">
        <v>27</v>
      </c>
      <c r="B2" s="6"/>
      <c r="C2" s="6" t="s">
        <v>28</v>
      </c>
      <c r="D2" s="6" t="s">
        <v>29</v>
      </c>
      <c r="E2" s="7" t="s">
        <v>30</v>
      </c>
      <c r="F2" s="6" t="s">
        <v>31</v>
      </c>
      <c r="G2" s="6" t="s">
        <v>29</v>
      </c>
      <c r="H2" s="7" t="s">
        <v>30</v>
      </c>
      <c r="I2" s="6" t="s">
        <v>32</v>
      </c>
      <c r="J2" s="6" t="s">
        <v>29</v>
      </c>
      <c r="K2" s="7" t="s">
        <v>30</v>
      </c>
      <c r="L2" s="6" t="s">
        <v>33</v>
      </c>
      <c r="M2" s="6" t="s">
        <v>29</v>
      </c>
      <c r="N2" s="7" t="s">
        <v>30</v>
      </c>
      <c r="O2" s="6"/>
      <c r="P2" s="6"/>
      <c r="Q2" s="6"/>
      <c r="R2" s="6"/>
      <c r="S2" s="6"/>
      <c r="T2" s="6"/>
    </row>
    <row r="3" spans="1:20">
      <c r="A3" s="8" t="s">
        <v>12</v>
      </c>
      <c r="B3" s="6">
        <v>1</v>
      </c>
      <c r="C3" s="6">
        <v>9.87</v>
      </c>
      <c r="D3" s="9">
        <f>AVERAGE(C3:C5)</f>
        <v>10.0966666666667</v>
      </c>
      <c r="E3" s="10">
        <f>STDEV(C3:C5)</f>
        <v>0.472687352626801</v>
      </c>
      <c r="F3" s="6">
        <v>0.32</v>
      </c>
      <c r="G3" s="9">
        <f>AVERAGE(F3:F5)</f>
        <v>0.326666666666667</v>
      </c>
      <c r="H3" s="10">
        <f>STDEV(F3:F5)</f>
        <v>0.0503322295684717</v>
      </c>
      <c r="I3" s="6">
        <v>1.49</v>
      </c>
      <c r="J3" s="9">
        <f>AVERAGE(I3:I5)</f>
        <v>1.42333333333333</v>
      </c>
      <c r="K3" s="10">
        <f>STDEV(I3:I5)</f>
        <v>0.0611010092660778</v>
      </c>
      <c r="L3" s="6">
        <v>0.38</v>
      </c>
      <c r="M3" s="9">
        <f>AVERAGE(L3:L5)</f>
        <v>0.343333333333333</v>
      </c>
      <c r="N3" s="10">
        <f>STDEV(L3:L5)</f>
        <v>0.0351188458428425</v>
      </c>
      <c r="O3" s="6"/>
      <c r="P3" s="6"/>
      <c r="Q3" s="6"/>
      <c r="R3" s="6"/>
      <c r="S3" s="6"/>
      <c r="T3" s="6"/>
    </row>
    <row r="4" spans="1:20">
      <c r="A4" s="8"/>
      <c r="B4" s="6">
        <v>2</v>
      </c>
      <c r="C4" s="6">
        <v>10.64</v>
      </c>
      <c r="D4" s="9"/>
      <c r="E4" s="10"/>
      <c r="F4" s="6">
        <v>0.38</v>
      </c>
      <c r="G4" s="9"/>
      <c r="H4" s="10"/>
      <c r="I4" s="6">
        <v>1.41</v>
      </c>
      <c r="J4" s="9"/>
      <c r="K4" s="10"/>
      <c r="L4" s="6">
        <v>0.34</v>
      </c>
      <c r="M4" s="9"/>
      <c r="N4" s="10"/>
      <c r="O4" s="6"/>
      <c r="P4" s="6"/>
      <c r="Q4" s="6"/>
      <c r="R4" s="6"/>
      <c r="S4" s="6"/>
      <c r="T4" s="6"/>
    </row>
    <row r="5" spans="1:20">
      <c r="A5" s="8"/>
      <c r="B5" s="6">
        <v>3</v>
      </c>
      <c r="C5" s="6">
        <v>9.78</v>
      </c>
      <c r="D5" s="9"/>
      <c r="E5" s="10"/>
      <c r="F5" s="6">
        <v>0.28</v>
      </c>
      <c r="G5" s="9"/>
      <c r="H5" s="10"/>
      <c r="I5" s="6">
        <v>1.37</v>
      </c>
      <c r="J5" s="9"/>
      <c r="K5" s="10"/>
      <c r="L5" s="6">
        <v>0.31</v>
      </c>
      <c r="M5" s="9"/>
      <c r="N5" s="10"/>
      <c r="O5" s="6"/>
      <c r="P5" s="6"/>
      <c r="Q5" s="6"/>
      <c r="R5" s="6"/>
      <c r="S5" s="6"/>
      <c r="T5" s="6"/>
    </row>
    <row r="6" spans="1:20">
      <c r="A6" s="8" t="s">
        <v>16</v>
      </c>
      <c r="B6" s="6">
        <v>1</v>
      </c>
      <c r="C6" s="6">
        <v>8.61</v>
      </c>
      <c r="D6" s="9">
        <f>AVERAGE(C6:C8)</f>
        <v>7.94666666666667</v>
      </c>
      <c r="E6" s="10">
        <f>STDEV(C6:C8)</f>
        <v>0.74540816559341</v>
      </c>
      <c r="F6" s="6">
        <v>0.26</v>
      </c>
      <c r="G6" s="9">
        <f>AVERAGE(F6:F8)</f>
        <v>0.233333333333333</v>
      </c>
      <c r="H6" s="10">
        <f>STDEV(F6:F8)</f>
        <v>0.0251661147842358</v>
      </c>
      <c r="I6" s="6">
        <v>0.97</v>
      </c>
      <c r="J6" s="9">
        <f>AVERAGE(I6:I8)</f>
        <v>1.02666666666667</v>
      </c>
      <c r="K6" s="10">
        <f>STDEV(I6:I8)</f>
        <v>0.0602771377334171</v>
      </c>
      <c r="L6" s="6">
        <v>0.27</v>
      </c>
      <c r="M6" s="9">
        <f>AVERAGE(L6:L8)</f>
        <v>0.26</v>
      </c>
      <c r="N6" s="10">
        <f>STDEV(L6:L8)</f>
        <v>0.01</v>
      </c>
      <c r="O6" s="6"/>
      <c r="P6" s="6"/>
      <c r="Q6" s="6"/>
      <c r="R6" s="6"/>
      <c r="S6" s="6"/>
      <c r="T6" s="6"/>
    </row>
    <row r="7" spans="1:20">
      <c r="A7" s="8"/>
      <c r="B7" s="6">
        <v>2</v>
      </c>
      <c r="C7" s="6">
        <v>7.14</v>
      </c>
      <c r="D7" s="9"/>
      <c r="E7" s="10"/>
      <c r="F7" s="6">
        <v>0.21</v>
      </c>
      <c r="G7" s="9"/>
      <c r="H7" s="10"/>
      <c r="I7" s="6">
        <v>1.02</v>
      </c>
      <c r="J7" s="9"/>
      <c r="K7" s="10"/>
      <c r="L7" s="6">
        <v>0.26</v>
      </c>
      <c r="M7" s="9"/>
      <c r="N7" s="10"/>
      <c r="O7" s="6"/>
      <c r="P7" s="6"/>
      <c r="Q7" s="6"/>
      <c r="R7" s="6"/>
      <c r="S7" s="6"/>
      <c r="T7" s="6"/>
    </row>
    <row r="8" spans="1:20">
      <c r="A8" s="11"/>
      <c r="B8" s="12">
        <v>3</v>
      </c>
      <c r="C8" s="12">
        <v>8.09</v>
      </c>
      <c r="D8" s="13"/>
      <c r="E8" s="14"/>
      <c r="F8" s="12">
        <v>0.23</v>
      </c>
      <c r="G8" s="13"/>
      <c r="H8" s="14"/>
      <c r="I8" s="12">
        <v>1.09</v>
      </c>
      <c r="J8" s="13"/>
      <c r="K8" s="14"/>
      <c r="L8" s="12">
        <v>0.25</v>
      </c>
      <c r="M8" s="13"/>
      <c r="N8" s="14"/>
      <c r="O8" s="6"/>
      <c r="P8" s="6"/>
      <c r="Q8" s="6"/>
      <c r="R8" s="6"/>
      <c r="S8" s="6"/>
      <c r="T8" s="6"/>
    </row>
    <row r="9" spans="1:20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1"/>
      <c r="B11" s="15" t="s">
        <v>26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7"/>
      <c r="P11" s="17"/>
      <c r="Q11" s="18"/>
      <c r="R11" s="17"/>
      <c r="S11" s="17"/>
      <c r="T11" s="18"/>
    </row>
    <row r="12" spans="1:20">
      <c r="A12" s="5" t="s">
        <v>34</v>
      </c>
      <c r="B12" s="6"/>
      <c r="C12" s="6" t="s">
        <v>35</v>
      </c>
      <c r="D12" s="6" t="s">
        <v>29</v>
      </c>
      <c r="E12" s="7" t="s">
        <v>30</v>
      </c>
      <c r="F12" s="6" t="s">
        <v>36</v>
      </c>
      <c r="G12" s="6" t="s">
        <v>29</v>
      </c>
      <c r="H12" s="7" t="s">
        <v>30</v>
      </c>
      <c r="I12" s="6" t="s">
        <v>37</v>
      </c>
      <c r="J12" s="6" t="s">
        <v>29</v>
      </c>
      <c r="K12" s="7" t="s">
        <v>30</v>
      </c>
      <c r="L12" s="6" t="s">
        <v>38</v>
      </c>
      <c r="M12" s="6" t="s">
        <v>29</v>
      </c>
      <c r="N12" s="7" t="s">
        <v>30</v>
      </c>
      <c r="O12" s="6" t="s">
        <v>39</v>
      </c>
      <c r="P12" s="6" t="s">
        <v>29</v>
      </c>
      <c r="Q12" s="7" t="s">
        <v>30</v>
      </c>
      <c r="R12" s="6" t="s">
        <v>40</v>
      </c>
      <c r="S12" s="19" t="s">
        <v>29</v>
      </c>
      <c r="T12" s="20" t="s">
        <v>30</v>
      </c>
    </row>
    <row r="13" spans="1:20">
      <c r="A13" s="8" t="s">
        <v>12</v>
      </c>
      <c r="B13" s="6">
        <v>1</v>
      </c>
      <c r="C13" s="6">
        <v>5.86</v>
      </c>
      <c r="D13" s="9">
        <f>AVERAGE(C13:C15)</f>
        <v>6.30333333333333</v>
      </c>
      <c r="E13" s="10">
        <f>STDEV(C13:C15)</f>
        <v>0.47815618090048</v>
      </c>
      <c r="F13" s="6">
        <v>1.29</v>
      </c>
      <c r="G13" s="9">
        <f>AVERAGE(F13:F15)</f>
        <v>1.26</v>
      </c>
      <c r="H13" s="10">
        <f>STDEV(F13:F15)</f>
        <v>0.0984885780179611</v>
      </c>
      <c r="I13" s="6">
        <v>3.7</v>
      </c>
      <c r="J13" s="9">
        <f>AVERAGE(I13:I15)</f>
        <v>3.56666666666667</v>
      </c>
      <c r="K13" s="10">
        <f>STDEV(I13:I15)</f>
        <v>1.1060440015358</v>
      </c>
      <c r="L13" s="6">
        <v>42.6</v>
      </c>
      <c r="M13" s="9">
        <f>AVERAGE(L13:L15)</f>
        <v>39.3666666666667</v>
      </c>
      <c r="N13" s="10">
        <f>STDEV(L13:L15)</f>
        <v>2.92631736715848</v>
      </c>
      <c r="O13" s="6">
        <v>0.26</v>
      </c>
      <c r="P13" s="9">
        <f>AVERAGE(O13:O15)</f>
        <v>0.353333333333333</v>
      </c>
      <c r="Q13" s="10">
        <f>STDEV(O13:O15)</f>
        <v>0.106926766215636</v>
      </c>
      <c r="R13" s="6">
        <v>1.26</v>
      </c>
      <c r="S13" s="9">
        <f>AVERAGE(R13:R15)</f>
        <v>0.923333333333333</v>
      </c>
      <c r="T13" s="10">
        <f>STDEV(R13:R15)</f>
        <v>0.356417358350198</v>
      </c>
    </row>
    <row r="14" spans="1:20">
      <c r="A14" s="8"/>
      <c r="B14" s="6">
        <v>2</v>
      </c>
      <c r="C14" s="6">
        <v>6.81</v>
      </c>
      <c r="D14" s="9"/>
      <c r="E14" s="10"/>
      <c r="F14" s="6">
        <v>1.15</v>
      </c>
      <c r="G14" s="9"/>
      <c r="H14" s="10"/>
      <c r="I14" s="6">
        <v>2.4</v>
      </c>
      <c r="J14" s="9"/>
      <c r="K14" s="10"/>
      <c r="L14" s="6">
        <v>36.9</v>
      </c>
      <c r="M14" s="9"/>
      <c r="N14" s="10"/>
      <c r="O14" s="6">
        <v>0.33</v>
      </c>
      <c r="P14" s="9"/>
      <c r="Q14" s="10"/>
      <c r="R14" s="6">
        <v>0.96</v>
      </c>
      <c r="S14" s="9"/>
      <c r="T14" s="10"/>
    </row>
    <row r="15" spans="1:20">
      <c r="A15" s="8"/>
      <c r="B15" s="6">
        <v>3</v>
      </c>
      <c r="C15" s="6">
        <v>6.24</v>
      </c>
      <c r="D15" s="9"/>
      <c r="E15" s="10"/>
      <c r="F15" s="6">
        <v>1.34</v>
      </c>
      <c r="G15" s="9"/>
      <c r="H15" s="10"/>
      <c r="I15" s="6">
        <v>4.6</v>
      </c>
      <c r="J15" s="9"/>
      <c r="K15" s="10"/>
      <c r="L15" s="6">
        <v>38.6</v>
      </c>
      <c r="M15" s="9"/>
      <c r="N15" s="10"/>
      <c r="O15" s="6">
        <v>0.47</v>
      </c>
      <c r="P15" s="9"/>
      <c r="Q15" s="10"/>
      <c r="R15" s="6">
        <v>0.55</v>
      </c>
      <c r="S15" s="13"/>
      <c r="T15" s="14"/>
    </row>
    <row r="16" spans="1:20">
      <c r="A16" s="8" t="s">
        <v>16</v>
      </c>
      <c r="B16" s="6">
        <v>1</v>
      </c>
      <c r="C16" s="6">
        <v>8.92</v>
      </c>
      <c r="D16" s="9">
        <f>AVERAGE(C16:C18)</f>
        <v>9.31666666666667</v>
      </c>
      <c r="E16" s="10">
        <f>STDEV(C16:C18)</f>
        <v>0.343850742813409</v>
      </c>
      <c r="F16" s="6">
        <v>2.68</v>
      </c>
      <c r="G16" s="9">
        <f>AVERAGE(F16:F18)</f>
        <v>2.26</v>
      </c>
      <c r="H16" s="10">
        <f>STDEV(F16:F18)</f>
        <v>0.363868107973205</v>
      </c>
      <c r="I16" s="6">
        <v>7.22</v>
      </c>
      <c r="J16" s="9">
        <f>AVERAGE(I16:I18)</f>
        <v>6.85</v>
      </c>
      <c r="K16" s="10">
        <f>STDEV(I16:I18)</f>
        <v>0.347706773014274</v>
      </c>
      <c r="L16" s="6">
        <v>52.1</v>
      </c>
      <c r="M16" s="9">
        <f>AVERAGE(L16:L18)</f>
        <v>47.8666666666667</v>
      </c>
      <c r="N16" s="10">
        <f>STDEV(L16:L18)</f>
        <v>3.9425034347903</v>
      </c>
      <c r="O16" s="6">
        <v>1.89</v>
      </c>
      <c r="P16" s="9">
        <f>AVERAGE(O16:O18)</f>
        <v>1.46333333333333</v>
      </c>
      <c r="Q16" s="10">
        <f>STDEV(O16:O18)</f>
        <v>0.37607623340665</v>
      </c>
      <c r="R16" s="6">
        <v>3.36</v>
      </c>
      <c r="S16" s="9">
        <f>AVERAGE(R16:R18)</f>
        <v>2.54</v>
      </c>
      <c r="T16" s="10">
        <f>STDEV(R16:R18)</f>
        <v>0.712671032103873</v>
      </c>
    </row>
    <row r="17" spans="1:20">
      <c r="A17" s="8"/>
      <c r="B17" s="6">
        <v>2</v>
      </c>
      <c r="C17" s="6">
        <v>9.53</v>
      </c>
      <c r="D17" s="9"/>
      <c r="E17" s="10"/>
      <c r="F17" s="6">
        <v>2.06</v>
      </c>
      <c r="G17" s="9"/>
      <c r="H17" s="10"/>
      <c r="I17" s="6">
        <v>6.53</v>
      </c>
      <c r="J17" s="9"/>
      <c r="K17" s="10"/>
      <c r="L17" s="6">
        <v>47.2</v>
      </c>
      <c r="M17" s="9"/>
      <c r="N17" s="10"/>
      <c r="O17" s="6">
        <v>1.18</v>
      </c>
      <c r="P17" s="9"/>
      <c r="Q17" s="10"/>
      <c r="R17" s="6">
        <v>2.19</v>
      </c>
      <c r="S17" s="9"/>
      <c r="T17" s="10"/>
    </row>
    <row r="18" spans="1:20">
      <c r="A18" s="11"/>
      <c r="B18" s="12">
        <v>3</v>
      </c>
      <c r="C18" s="12">
        <v>9.5</v>
      </c>
      <c r="D18" s="13"/>
      <c r="E18" s="14"/>
      <c r="F18" s="12">
        <v>2.04</v>
      </c>
      <c r="G18" s="13"/>
      <c r="H18" s="14"/>
      <c r="I18" s="12">
        <v>6.8</v>
      </c>
      <c r="J18" s="13"/>
      <c r="K18" s="14"/>
      <c r="L18" s="12">
        <v>44.3</v>
      </c>
      <c r="M18" s="13"/>
      <c r="N18" s="14"/>
      <c r="O18" s="12">
        <v>1.32</v>
      </c>
      <c r="P18" s="13"/>
      <c r="Q18" s="14"/>
      <c r="R18" s="6">
        <v>2.07</v>
      </c>
      <c r="S18" s="13"/>
      <c r="T18" s="14"/>
    </row>
  </sheetData>
  <mergeCells count="46">
    <mergeCell ref="B1:N1"/>
    <mergeCell ref="B11:N11"/>
    <mergeCell ref="A3:A5"/>
    <mergeCell ref="A6:A8"/>
    <mergeCell ref="A13:A15"/>
    <mergeCell ref="A16:A18"/>
    <mergeCell ref="D3:D5"/>
    <mergeCell ref="D6:D8"/>
    <mergeCell ref="D13:D15"/>
    <mergeCell ref="D16:D18"/>
    <mergeCell ref="E3:E5"/>
    <mergeCell ref="E6:E8"/>
    <mergeCell ref="E13:E15"/>
    <mergeCell ref="E16:E18"/>
    <mergeCell ref="G3:G5"/>
    <mergeCell ref="G6:G8"/>
    <mergeCell ref="G13:G15"/>
    <mergeCell ref="G16:G18"/>
    <mergeCell ref="H3:H5"/>
    <mergeCell ref="H6:H8"/>
    <mergeCell ref="H13:H15"/>
    <mergeCell ref="H16:H18"/>
    <mergeCell ref="J3:J5"/>
    <mergeCell ref="J6:J8"/>
    <mergeCell ref="J13:J15"/>
    <mergeCell ref="J16:J18"/>
    <mergeCell ref="K3:K5"/>
    <mergeCell ref="K6:K8"/>
    <mergeCell ref="K13:K15"/>
    <mergeCell ref="K16:K18"/>
    <mergeCell ref="M3:M5"/>
    <mergeCell ref="M6:M8"/>
    <mergeCell ref="M13:M15"/>
    <mergeCell ref="M16:M18"/>
    <mergeCell ref="N3:N5"/>
    <mergeCell ref="N6:N8"/>
    <mergeCell ref="N13:N15"/>
    <mergeCell ref="N16:N18"/>
    <mergeCell ref="P13:P15"/>
    <mergeCell ref="P16:P18"/>
    <mergeCell ref="Q13:Q15"/>
    <mergeCell ref="Q16:Q18"/>
    <mergeCell ref="S13:S15"/>
    <mergeCell ref="S16:S18"/>
    <mergeCell ref="T13:T15"/>
    <mergeCell ref="T16:T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diet and growth</vt:lpstr>
      <vt:lpstr>blood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屯里的未来</cp:lastModifiedBy>
  <dcterms:created xsi:type="dcterms:W3CDTF">2025-11-19T16:17:00Z</dcterms:created>
  <dcterms:modified xsi:type="dcterms:W3CDTF">2025-12-04T07:18:46Z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9C0F512D86005EE666C31D69741C6B0B_41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